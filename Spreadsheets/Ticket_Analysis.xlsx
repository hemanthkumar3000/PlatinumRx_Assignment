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<sst xmlns="http://schemas.openxmlformats.org/spreadsheetml/2006/main" count="24" uniqueCount="20">
  <si>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</si>
  <si>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</si>
  <si>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</si>
  <si>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</si>
  <si>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</si>
  <si>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</si>
  <si>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</si>
  <si>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</si>
  <si>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</si>
  <si>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</si>
  <si>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abc-xy-456</t>
  </si>
  <si>
    <t>lmn-tt-678</t>
  </si>
  <si>
    <t>out-111</t>
  </si>
  <si>
    <t>cms-789</t>
  </si>
  <si>
    <t>feedback_at</t>
  </si>
  <si>
    <t>feedback_rating</t>
  </si>
  <si>
    <t>ticket_created_at</t>
  </si>
  <si>
    <t>Same Day</t>
  </si>
  <si>
    <t>Same Hour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</si>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</sst>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44427.69841435185</v>
      </c>
      <c r="C2" s="2">
        <v>44430.52328703704</v>
      </c>
      <c r="D2" s="1" t="s">
        <v>6</v>
      </c>
      <c r="E2" s="1" t="s">
        <v>7</v>
      </c>
    </row>
    <row r="3">
      <c r="A3" s="1" t="s">
        <v>8</v>
      </c>
      <c r="B3" s="2">
        <v>44429.464837962965</v>
      </c>
      <c r="C3" s="2">
        <v>44429.717881944445</v>
      </c>
      <c r="D3" s="1" t="s">
        <v>9</v>
      </c>
      <c r="E3" s="1" t="s">
        <v>10</v>
      </c>
    </row>
    <row r="4">
      <c r="A4" s="1" t="s">
        <v>11</v>
      </c>
      <c r="B4" s="2">
        <v>44429.541666666664</v>
      </c>
      <c r="C4" s="2">
        <v>44429.569444444445</v>
      </c>
      <c r="D4" s="1" t="s">
        <v>12</v>
      </c>
      <c r="E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1" t="s">
        <v>7</v>
      </c>
      <c r="B2" s="2">
        <v>44429.560277777775</v>
      </c>
      <c r="C2" s="1">
        <v>3.0</v>
      </c>
      <c r="D2" s="3">
        <f t="array" ref="D2">INDEX(ticket!B:B, MATCH(A2, ticket!E:E, 0))</f>
        <v>44427.69841</v>
      </c>
      <c r="E2" s="4" t="b">
        <f t="shared" ref="E2:E4" si="1">INT(B2)=INT(D2)</f>
        <v>0</v>
      </c>
      <c r="F2" s="4" t="b">
        <f t="shared" ref="F2:F4" si="2">HOUR(B2)=HOUR(D2)</f>
        <v>0</v>
      </c>
    </row>
    <row r="3">
      <c r="A3" s="1" t="s">
        <v>10</v>
      </c>
      <c r="B3" s="2">
        <v>44429.756944444445</v>
      </c>
      <c r="C3" s="1">
        <v>4.0</v>
      </c>
      <c r="D3" s="3">
        <f t="array" ref="D3">INDEX(ticket!B:B, MATCH(A3, ticket!E:E, 0))</f>
        <v>44429.46484</v>
      </c>
      <c r="E3" s="4" t="b">
        <f t="shared" si="1"/>
        <v>1</v>
      </c>
      <c r="F3" s="4" t="b">
        <f t="shared" si="2"/>
        <v>0</v>
      </c>
    </row>
    <row r="4">
      <c r="A4" s="1" t="s">
        <v>13</v>
      </c>
      <c r="B4" s="2">
        <v>44429.555555555555</v>
      </c>
      <c r="C4" s="1">
        <v>5.0</v>
      </c>
      <c r="D4" s="3">
        <f t="array" ref="D4">INDEX(ticket!B:B, MATCH(A4, ticket!E:E, 0))</f>
        <v>44429.54167</v>
      </c>
      <c r="E4" s="4" t="b">
        <f t="shared" si="1"/>
        <v>1</v>
      </c>
      <c r="F4" s="4" t="b">
        <f t="shared" si="2"/>
        <v>1</v>
      </c>
    </row>
    <row r="5">
      <c r="G5" s="1" t="s">
        <v>19</v>
      </c>
    </row>
    <row r="6">
      <c r="G6" s="4">
        <f>COUNTIFS(E:E, TRUE, F:F, TRUE)</f>
        <v>1</v>
      </c>
    </row>
  </sheetData>
  <drawing r:id="rId1"/>
</worksheet>
</file>